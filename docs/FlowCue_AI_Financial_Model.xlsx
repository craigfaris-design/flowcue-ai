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Summary" sheetId="2" state="visible" r:id="rId4"/>
    <sheet name="Monthly Mode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<sst xmlns="http://schemas.openxmlformats.org/spreadsheetml/2006/main" count="58" uniqueCount="58">
  <si>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FlowCue AI — Financial Model Assumptions</t>
  </si>
  <si>
    <t xml:space="preserve">Illustrative planning assumptions only — not committed figures. To be replaced with real funnel data as beta/launch metrics exist. See Business Plan §5-6.</t>
  </si>
  <si>
    <t xml:space="preserve">Growth &amp; Conversion</t>
  </si>
  <si>
    <t xml:space="preserve">Month 1 new Free signups</t>
  </si>
  <si>
    <t xml:space="preserve">Source: founder estimate, beta-scale starting point</t>
  </si>
  <si>
    <t xml:space="preserve">Monthly signup growth rate</t>
  </si>
  <si>
    <t xml:space="preserve">Illustrative — validate against beta signup velocity</t>
  </si>
  <si>
    <t xml:space="preserve">Free → Pro conversion rate</t>
  </si>
  <si>
    <t xml:space="preserve">Midpoint of 3-6% range cited in Business Plan §6</t>
  </si>
  <si>
    <t xml:space="preserve">Monthly Pro churn rate</t>
  </si>
  <si>
    <t xml:space="preserve">Target &lt;5% per Business Plan §6</t>
  </si>
  <si>
    <t xml:space="preserve">Life Events purchase rate (of new Free signups)</t>
  </si>
  <si>
    <t xml:space="preserve">Illustrative — one-shot buyers, not a repeat-purchase segment</t>
  </si>
  <si>
    <t xml:space="preserve">Pricing</t>
  </si>
  <si>
    <t xml:space="preserve">Pro — monthly plan price</t>
  </si>
  <si>
    <t xml:space="preserve">Pro — annual plan price (effective monthly)</t>
  </si>
  <si>
    <t xml:space="preserve">$99/yr ÷ 12</t>
  </si>
  <si>
    <t xml:space="preserve">Share of Pro subs on annual plan</t>
  </si>
  <si>
    <t xml:space="preserve">Illustrative mix assumption</t>
  </si>
  <si>
    <t xml:space="preserve">Life Events one-time price</t>
  </si>
  <si>
    <t xml:space="preserve">B2B (Team / Education / Enterprise) — placeholder ramp</t>
  </si>
  <si>
    <t xml:space="preserve">Monthly B2B revenue at Month 7 (ramp start)</t>
  </si>
  <si>
    <t xml:space="preserve">Placeholder only — real figure depends on sales pipeline, not self-serve conversion (Business Plan §6)</t>
  </si>
  <si>
    <t xml:space="preserve">B2B monthly revenue growth rate (from Month 7)</t>
  </si>
  <si>
    <t xml:space="preserve">Illustrative</t>
  </si>
  <si>
    <t xml:space="preserve">Unit Economics Check</t>
  </si>
  <si>
    <t xml:space="preserve">Blended CAC (illustrative, from Business Plan §5)</t>
  </si>
  <si>
    <t xml:space="preserve">FlowCue AI — Financial Model Summary</t>
  </si>
  <si>
    <t xml:space="preserve">Illustrative projection built on Assumptions tab — see notes there before citing any figure externally.</t>
  </si>
  <si>
    <t xml:space="preserve">Metric</t>
  </si>
  <si>
    <t xml:space="preserve">Year 1 (Mo. 1-12)</t>
  </si>
  <si>
    <t xml:space="preserve">Year 2 (Mo. 13-24)</t>
  </si>
  <si>
    <t xml:space="preserve">Total Revenue</t>
  </si>
  <si>
    <t xml:space="preserve">  — Pro subscription revenue</t>
  </si>
  <si>
    <t xml:space="preserve">  — Life Events revenue</t>
  </si>
  <si>
    <t xml:space="preserve">  — B2B revenue</t>
  </si>
  <si>
    <t xml:space="preserve">Ending MRR (Pro + B2B)</t>
  </si>
  <si>
    <t xml:space="preserve">Ending ARR (annualized)</t>
  </si>
  <si>
    <t xml:space="preserve">Ending Pro Subscribers</t>
  </si>
  <si>
    <t xml:space="preserve">Ending Cumulative Free Users</t>
  </si>
  <si>
    <t xml:space="preserve">Unit Economics</t>
  </si>
  <si>
    <t xml:space="preserve">Estimated Pro LTV (ARPU ÷ monthly churn)</t>
  </si>
  <si>
    <t xml:space="preserve">Blended CAC (from Assumptions)</t>
  </si>
  <si>
    <t xml:space="preserve">LTV : CAC ratio</t>
  </si>
  <si>
    <t xml:space="preserve">Note: a healthy SaaS benchmark is LTV:CAC ≥ 3x. This is a planning heuristic, not a guarantee — real CAC and churn should replace the Assumptions-tab placeholders once beta/launch data exists.</t>
  </si>
  <si>
    <t xml:space="preserve">FlowCue AI — 24-Month Model</t>
  </si>
  <si>
    <t xml:space="preserve">Month</t>
  </si>
  <si>
    <t xml:space="preserve">New Free Signups</t>
  </si>
  <si>
    <t xml:space="preserve">Cumulative Free Users</t>
  </si>
  <si>
    <t xml:space="preserve">New Pro Conversions</t>
  </si>
  <si>
    <t xml:space="preserve">Total Pro Subscribers</t>
  </si>
  <si>
    <t xml:space="preserve">Blended Pro ARPU</t>
  </si>
  <si>
    <t xml:space="preserve">Pro MRR</t>
  </si>
  <si>
    <t xml:space="preserve">Life Events Buyers</t>
  </si>
  <si>
    <t xml:space="preserve">Life Events Revenue</t>
  </si>
  <si>
    <t xml:space="preserve">B2B Revenue</t>
  </si>
  <si>
    <t xml:space="preserve">Total MRR + One-Time Revenue</t>
  </si>
  <si>
    <t xml:space="preserve">Cumulative Revenue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</si>
</sst>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\$#,##0;&quot;($&quot;#,##0\);\-"/>
    <numFmt numFmtId="168" formatCode="#,##0;\(#,##0\);\-"/>
    <numFmt numFmtId="169" formatCode="\$#,##0.00;&quot;($&quot;#,##0.00\);\-"/>
    <numFmt numFmtId="170" formatCode="0.0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FD166"/>
        <bgColor rgb="FFFFCC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16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40"/>
    <col collapsed="false" customWidth="true" hidden="false" outlineLevel="0" max="5" min="4" style="1" width="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4" customFormat="false" ht="15" hidden="false" customHeight="true" outlineLevel="0" collapsed="false">
      <c r="A4" s="4" t="s">
        <v>2</v>
      </c>
      <c r="B4" s="5"/>
      <c r="C4" s="5"/>
      <c r="D4" s="5"/>
      <c r="E4" s="5"/>
    </row>
    <row r="5" customFormat="false" ht="15" hidden="false" customHeight="true" outlineLevel="0" collapsed="false">
      <c r="A5" s="6" t="s">
        <v>3</v>
      </c>
      <c r="B5" s="7" t="n">
        <v>500</v>
      </c>
      <c r="C5" s="8" t="s">
        <v>4</v>
      </c>
    </row>
    <row r="6" customFormat="false" ht="15" hidden="false" customHeight="true" outlineLevel="0" collapsed="false">
      <c r="A6" s="6" t="s">
        <v>5</v>
      </c>
      <c r="B6" s="9" t="n">
        <v>0.08</v>
      </c>
      <c r="C6" s="8" t="s">
        <v>6</v>
      </c>
    </row>
    <row r="7" customFormat="false" ht="15" hidden="false" customHeight="true" outlineLevel="0" collapsed="false">
      <c r="A7" s="6" t="s">
        <v>7</v>
      </c>
      <c r="B7" s="9" t="n">
        <v>0.045</v>
      </c>
      <c r="C7" s="8" t="s">
        <v>8</v>
      </c>
    </row>
    <row r="8" customFormat="false" ht="15" hidden="false" customHeight="true" outlineLevel="0" collapsed="false">
      <c r="A8" s="6" t="s">
        <v>9</v>
      </c>
      <c r="B8" s="9" t="n">
        <v>0.04</v>
      </c>
      <c r="C8" s="8" t="s">
        <v>10</v>
      </c>
    </row>
    <row r="9" customFormat="false" ht="15" hidden="false" customHeight="true" outlineLevel="0" collapsed="false">
      <c r="A9" s="6" t="s">
        <v>11</v>
      </c>
      <c r="B9" s="9" t="n">
        <v>0.015</v>
      </c>
      <c r="C9" s="8" t="s">
        <v>12</v>
      </c>
    </row>
    <row r="11" customFormat="false" ht="15" hidden="false" customHeight="true" outlineLevel="0" collapsed="false">
      <c r="A11" s="4" t="s">
        <v>13</v>
      </c>
      <c r="B11" s="5"/>
      <c r="C11" s="5"/>
      <c r="D11" s="5"/>
      <c r="E11" s="5"/>
    </row>
    <row r="12" customFormat="false" ht="15" hidden="false" customHeight="true" outlineLevel="0" collapsed="false">
      <c r="A12" s="6" t="s">
        <v>14</v>
      </c>
      <c r="B12" s="10" t="n">
        <v>12.99</v>
      </c>
    </row>
    <row r="13" customFormat="false" ht="15" hidden="false" customHeight="true" outlineLevel="0" collapsed="false">
      <c r="A13" s="6" t="s">
        <v>15</v>
      </c>
      <c r="B13" s="10" t="n">
        <v>8.25</v>
      </c>
      <c r="C13" s="8" t="s">
        <v>16</v>
      </c>
    </row>
    <row r="14" customFormat="false" ht="15" hidden="false" customHeight="true" outlineLevel="0" collapsed="false">
      <c r="A14" s="6" t="s">
        <v>17</v>
      </c>
      <c r="B14" s="9" t="n">
        <v>0.3</v>
      </c>
      <c r="C14" s="8" t="s">
        <v>18</v>
      </c>
    </row>
    <row r="15" customFormat="false" ht="15" hidden="false" customHeight="true" outlineLevel="0" collapsed="false">
      <c r="A15" s="6" t="s">
        <v>19</v>
      </c>
      <c r="B15" s="10" t="n">
        <v>19.99</v>
      </c>
    </row>
    <row r="17" customFormat="false" ht="15" hidden="false" customHeight="true" outlineLevel="0" collapsed="false">
      <c r="A17" s="4" t="s">
        <v>20</v>
      </c>
      <c r="B17" s="5"/>
      <c r="C17" s="5"/>
      <c r="D17" s="5"/>
      <c r="E17" s="5"/>
    </row>
    <row r="18" customFormat="false" ht="15" hidden="false" customHeight="true" outlineLevel="0" collapsed="false">
      <c r="A18" s="6" t="s">
        <v>21</v>
      </c>
      <c r="B18" s="10" t="n">
        <v>2000</v>
      </c>
      <c r="C18" s="8" t="s">
        <v>22</v>
      </c>
    </row>
    <row r="19" customFormat="false" ht="15" hidden="false" customHeight="true" outlineLevel="0" collapsed="false">
      <c r="A19" s="6" t="s">
        <v>23</v>
      </c>
      <c r="B19" s="9" t="n">
        <v>0.12</v>
      </c>
      <c r="C19" s="8" t="s">
        <v>24</v>
      </c>
    </row>
    <row r="21" customFormat="false" ht="15" hidden="false" customHeight="true" outlineLevel="0" collapsed="false">
      <c r="A21" s="4" t="s">
        <v>25</v>
      </c>
      <c r="B21" s="5"/>
      <c r="C21" s="5"/>
      <c r="D21" s="5"/>
      <c r="E21" s="5"/>
    </row>
    <row r="22" customFormat="false" ht="15" hidden="false" customHeight="true" outlineLevel="0" collapsed="false">
      <c r="A22" s="6" t="s">
        <v>26</v>
      </c>
      <c r="B22" s="10" t="n">
        <v>12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8"/>
  </cols>
  <sheetData>
    <row r="1" customFormat="false" ht="17.25" hidden="false" customHeight="true" outlineLevel="0" collapsed="false">
      <c r="A1" s="2" t="s">
        <v>27</v>
      </c>
    </row>
    <row r="2" customFormat="false" ht="15" hidden="false" customHeight="true" outlineLevel="0" collapsed="false">
      <c r="A2" s="8" t="s">
        <v>28</v>
      </c>
    </row>
    <row r="4" customFormat="false" ht="15" hidden="false" customHeight="true" outlineLevel="0" collapsed="false">
      <c r="A4" s="4" t="s">
        <v>29</v>
      </c>
      <c r="B4" s="4" t="s">
        <v>30</v>
      </c>
      <c r="C4" s="4" t="s">
        <v>31</v>
      </c>
    </row>
    <row r="5" customFormat="false" ht="15" hidden="false" customHeight="true" outlineLevel="0" collapsed="false">
      <c r="A5" s="11" t="s">
        <v>32</v>
      </c>
      <c r="B5" s="12" t="n">
        <f aca="false">SUM('Monthly Model'!K4:K15)</f>
        <v>43369.0411741444</v>
      </c>
      <c r="C5" s="12" t="n">
        <f aca="false">SUM('Monthly Model'!K16:K27)</f>
        <v>202024.390997387</v>
      </c>
    </row>
    <row r="6" customFormat="false" ht="15" hidden="false" customHeight="true" outlineLevel="0" collapsed="false">
      <c r="A6" s="13" t="s">
        <v>33</v>
      </c>
      <c r="B6" s="12" t="n">
        <f aca="false">SUM('Monthly Model'!G4:G15)</f>
        <v>24293.5174031933</v>
      </c>
      <c r="C6" s="12" t="n">
        <f aca="false">SUM('Monthly Model'!G16:G27)</f>
        <v>99590.778325929</v>
      </c>
    </row>
    <row r="7" customFormat="false" ht="15" hidden="false" customHeight="true" outlineLevel="0" collapsed="false">
      <c r="A7" s="13" t="s">
        <v>34</v>
      </c>
      <c r="B7" s="12" t="n">
        <f aca="false">SUM('Monthly Model'!I4:I15)</f>
        <v>2845.14568455107</v>
      </c>
      <c r="C7" s="12" t="n">
        <f aca="false">SUM('Monthly Model'!I16:I27)</f>
        <v>7164.56084083298</v>
      </c>
    </row>
    <row r="8" customFormat="false" ht="15" hidden="false" customHeight="true" outlineLevel="0" collapsed="false">
      <c r="A8" s="13" t="s">
        <v>35</v>
      </c>
      <c r="B8" s="12" t="n">
        <f aca="false">SUM('Monthly Model'!J4:J15)</f>
        <v>16230.3780864</v>
      </c>
      <c r="C8" s="12" t="n">
        <f aca="false">SUM('Monthly Model'!J16:J27)</f>
        <v>95269.0518306247</v>
      </c>
    </row>
    <row r="9" customFormat="false" ht="15" hidden="false" customHeight="true" outlineLevel="0" collapsed="false">
      <c r="A9" s="11" t="s">
        <v>36</v>
      </c>
      <c r="B9" s="12" t="n">
        <f aca="false">'Monthly Model'!G15+'Monthly Model'!J15</f>
        <v>7657.6268861321</v>
      </c>
      <c r="C9" s="12" t="n">
        <f aca="false">'Monthly Model'!G27+'Monthly Model'!J27</f>
        <v>26671.8314637468</v>
      </c>
    </row>
    <row r="10" customFormat="false" ht="15" hidden="false" customHeight="true" outlineLevel="0" collapsed="false">
      <c r="A10" s="11" t="s">
        <v>37</v>
      </c>
      <c r="B10" s="12" t="n">
        <f aca="false">B9*12</f>
        <v>91891.5226335852</v>
      </c>
      <c r="C10" s="12" t="n">
        <f aca="false">C9*12</f>
        <v>320061.977564962</v>
      </c>
    </row>
    <row r="11" customFormat="false" ht="15" hidden="false" customHeight="true" outlineLevel="0" collapsed="false">
      <c r="A11" s="11" t="s">
        <v>38</v>
      </c>
      <c r="B11" s="14" t="n">
        <f aca="false">'Monthly Model'!E15</f>
        <v>357.273817404227</v>
      </c>
      <c r="C11" s="14" t="n">
        <f aca="false">'Monthly Model'!E27</f>
        <v>1118.58140447119</v>
      </c>
    </row>
    <row r="12" customFormat="false" ht="15" hidden="false" customHeight="true" outlineLevel="0" collapsed="false">
      <c r="A12" s="11" t="s">
        <v>39</v>
      </c>
      <c r="B12" s="14" t="n">
        <f aca="false">'Monthly Model'!C15</f>
        <v>9488.56323011862</v>
      </c>
      <c r="C12" s="14" t="n">
        <f aca="false">'Monthly Model'!C27</f>
        <v>33382.3796077507</v>
      </c>
    </row>
    <row r="14" customFormat="false" ht="15" hidden="false" customHeight="true" outlineLevel="0" collapsed="false">
      <c r="A14" s="4" t="s">
        <v>40</v>
      </c>
      <c r="B14" s="5"/>
      <c r="C14" s="5"/>
    </row>
    <row r="15" customFormat="false" ht="15" hidden="false" customHeight="true" outlineLevel="0" collapsed="false">
      <c r="A15" s="13" t="s">
        <v>41</v>
      </c>
      <c r="B15" s="15" t="n">
        <f aca="false">'Monthly Model'!F4/Assumptions!$B$8</f>
        <v>289.2</v>
      </c>
    </row>
    <row r="16" customFormat="false" ht="15" hidden="false" customHeight="true" outlineLevel="0" collapsed="false">
      <c r="A16" s="13" t="s">
        <v>42</v>
      </c>
      <c r="B16" s="15" t="n">
        <f aca="false">Assumptions!$B$22</f>
        <v>12</v>
      </c>
    </row>
    <row r="17" customFormat="false" ht="15" hidden="false" customHeight="true" outlineLevel="0" collapsed="false">
      <c r="A17" s="11" t="s">
        <v>43</v>
      </c>
      <c r="B17" s="16" t="n">
        <f aca="false">B15/B16</f>
        <v>24.1</v>
      </c>
    </row>
    <row r="19" customFormat="false" ht="30" hidden="false" customHeight="true" outlineLevel="0" collapsed="false">
      <c r="A19" s="17" t="s">
        <v>44</v>
      </c>
      <c r="B19" s="17"/>
      <c r="C19" s="17"/>
    </row>
  </sheetData>
  <mergeCells count="1"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12" min="2" style="1" width="16"/>
  </cols>
  <sheetData>
    <row r="1" customFormat="false" ht="17.25" hidden="false" customHeight="true" outlineLevel="0" collapsed="false">
      <c r="A1" s="18" t="s">
        <v>45</v>
      </c>
      <c r="B1" s="18"/>
    </row>
    <row r="3" customFormat="false" ht="23.25" hidden="false" customHeight="true" outlineLevel="0" collapsed="false">
      <c r="A3" s="19" t="s">
        <v>46</v>
      </c>
      <c r="B3" s="19" t="s">
        <v>47</v>
      </c>
      <c r="C3" s="19" t="s">
        <v>48</v>
      </c>
      <c r="D3" s="19" t="s">
        <v>49</v>
      </c>
      <c r="E3" s="19" t="s">
        <v>50</v>
      </c>
      <c r="F3" s="19" t="s">
        <v>51</v>
      </c>
      <c r="G3" s="19" t="s">
        <v>52</v>
      </c>
      <c r="H3" s="19" t="s">
        <v>53</v>
      </c>
      <c r="I3" s="19" t="s">
        <v>54</v>
      </c>
      <c r="J3" s="19" t="s">
        <v>55</v>
      </c>
      <c r="K3" s="19" t="s">
        <v>56</v>
      </c>
      <c r="L3" s="19" t="s">
        <v>57</v>
      </c>
    </row>
    <row r="4" customFormat="false" ht="15" hidden="false" customHeight="true" outlineLevel="0" collapsed="false">
      <c r="A4" s="13" t="n">
        <v>1</v>
      </c>
      <c r="B4" s="14" t="n">
        <f aca="false">Assumptions!$B$5</f>
        <v>500</v>
      </c>
      <c r="C4" s="14" t="n">
        <f aca="false">B4</f>
        <v>500</v>
      </c>
      <c r="D4" s="14" t="n">
        <f aca="false">B4*Assumptions!$B$7</f>
        <v>22.5</v>
      </c>
      <c r="E4" s="14" t="n">
        <f aca="false">D4</f>
        <v>22.5</v>
      </c>
      <c r="F4" s="15" t="n">
        <f aca="false">Assumptions!$B$12*(1-Assumptions!$B$14)+Assumptions!$B$13*Assumptions!$B$14</f>
        <v>11.568</v>
      </c>
      <c r="G4" s="12" t="n">
        <f aca="false">E4*F4</f>
        <v>260.28</v>
      </c>
      <c r="H4" s="14" t="n">
        <f aca="false">B4*Assumptions!$B$9</f>
        <v>7.5</v>
      </c>
      <c r="I4" s="12" t="n">
        <f aca="false">H4*Assumptions!$B$15</f>
        <v>149.925</v>
      </c>
      <c r="J4" s="12" t="n">
        <f aca="false">0</f>
        <v>0</v>
      </c>
      <c r="K4" s="12" t="n">
        <f aca="false">G4+I4+J4</f>
        <v>410.205</v>
      </c>
      <c r="L4" s="12" t="n">
        <f aca="false">K4</f>
        <v>410.205</v>
      </c>
    </row>
    <row r="5" customFormat="false" ht="15" hidden="false" customHeight="true" outlineLevel="0" collapsed="false">
      <c r="A5" s="20" t="n">
        <v>2</v>
      </c>
      <c r="B5" s="21" t="n">
        <f aca="false">B4*(1+Assumptions!$B$6)</f>
        <v>540</v>
      </c>
      <c r="C5" s="21" t="n">
        <f aca="false">C4+B5</f>
        <v>1040</v>
      </c>
      <c r="D5" s="21" t="n">
        <f aca="false">B5*Assumptions!$B$7</f>
        <v>24.3</v>
      </c>
      <c r="E5" s="21" t="n">
        <f aca="false">E4*(1-Assumptions!$B$8)+D5</f>
        <v>45.9</v>
      </c>
      <c r="F5" s="22" t="n">
        <f aca="false">Assumptions!$B$12*(1-Assumptions!$B$14)+Assumptions!$B$13*Assumptions!$B$14</f>
        <v>11.568</v>
      </c>
      <c r="G5" s="23" t="n">
        <f aca="false">E5*F5</f>
        <v>530.9712</v>
      </c>
      <c r="H5" s="21" t="n">
        <f aca="false">B5*Assumptions!$B$9</f>
        <v>8.1</v>
      </c>
      <c r="I5" s="23" t="n">
        <f aca="false">H5*Assumptions!$B$15</f>
        <v>161.919</v>
      </c>
      <c r="J5" s="23" t="n">
        <f aca="false">0</f>
        <v>0</v>
      </c>
      <c r="K5" s="23" t="n">
        <f aca="false">G5+I5+J5</f>
        <v>692.8902</v>
      </c>
      <c r="L5" s="23" t="n">
        <f aca="false">L4+K5</f>
        <v>1103.0952</v>
      </c>
    </row>
    <row r="6" customFormat="false" ht="15" hidden="false" customHeight="true" outlineLevel="0" collapsed="false">
      <c r="A6" s="13" t="n">
        <v>3</v>
      </c>
      <c r="B6" s="14" t="n">
        <f aca="false">B5*(1+Assumptions!$B$6)</f>
        <v>583.2</v>
      </c>
      <c r="C6" s="14" t="n">
        <f aca="false">C5+B6</f>
        <v>1623.2</v>
      </c>
      <c r="D6" s="14" t="n">
        <f aca="false">B6*Assumptions!$B$7</f>
        <v>26.244</v>
      </c>
      <c r="E6" s="14" t="n">
        <f aca="false">E5*(1-Assumptions!$B$8)+D6</f>
        <v>70.308</v>
      </c>
      <c r="F6" s="15" t="n">
        <f aca="false">Assumptions!$B$12*(1-Assumptions!$B$14)+Assumptions!$B$13*Assumptions!$B$14</f>
        <v>11.568</v>
      </c>
      <c r="G6" s="12" t="n">
        <f aca="false">E6*F6</f>
        <v>813.322944</v>
      </c>
      <c r="H6" s="14" t="n">
        <f aca="false">B6*Assumptions!$B$9</f>
        <v>8.748</v>
      </c>
      <c r="I6" s="12" t="n">
        <f aca="false">H6*Assumptions!$B$15</f>
        <v>174.87252</v>
      </c>
      <c r="J6" s="12" t="n">
        <f aca="false">0</f>
        <v>0</v>
      </c>
      <c r="K6" s="12" t="n">
        <f aca="false">G6+I6+J6</f>
        <v>988.195464</v>
      </c>
      <c r="L6" s="12" t="n">
        <f aca="false">L5+K6</f>
        <v>2091.290664</v>
      </c>
    </row>
    <row r="7" customFormat="false" ht="15" hidden="false" customHeight="true" outlineLevel="0" collapsed="false">
      <c r="A7" s="20" t="n">
        <v>4</v>
      </c>
      <c r="B7" s="21" t="n">
        <f aca="false">B6*(1+Assumptions!$B$6)</f>
        <v>629.856</v>
      </c>
      <c r="C7" s="21" t="n">
        <f aca="false">C6+B7</f>
        <v>2253.056</v>
      </c>
      <c r="D7" s="21" t="n">
        <f aca="false">B7*Assumptions!$B$7</f>
        <v>28.34352</v>
      </c>
      <c r="E7" s="21" t="n">
        <f aca="false">E6*(1-Assumptions!$B$8)+D7</f>
        <v>95.8392</v>
      </c>
      <c r="F7" s="22" t="n">
        <f aca="false">Assumptions!$B$12*(1-Assumptions!$B$14)+Assumptions!$B$13*Assumptions!$B$14</f>
        <v>11.568</v>
      </c>
      <c r="G7" s="23" t="n">
        <f aca="false">E7*F7</f>
        <v>1108.6678656</v>
      </c>
      <c r="H7" s="21" t="n">
        <f aca="false">B7*Assumptions!$B$9</f>
        <v>9.44784</v>
      </c>
      <c r="I7" s="23" t="n">
        <f aca="false">H7*Assumptions!$B$15</f>
        <v>188.8623216</v>
      </c>
      <c r="J7" s="23" t="n">
        <f aca="false">0</f>
        <v>0</v>
      </c>
      <c r="K7" s="23" t="n">
        <f aca="false">G7+I7+J7</f>
        <v>1297.5301872</v>
      </c>
      <c r="L7" s="23" t="n">
        <f aca="false">L6+K7</f>
        <v>3388.8208512</v>
      </c>
    </row>
    <row r="8" customFormat="false" ht="15" hidden="false" customHeight="true" outlineLevel="0" collapsed="false">
      <c r="A8" s="13" t="n">
        <v>5</v>
      </c>
      <c r="B8" s="14" t="n">
        <f aca="false">B7*(1+Assumptions!$B$6)</f>
        <v>680.24448</v>
      </c>
      <c r="C8" s="14" t="n">
        <f aca="false">C7+B8</f>
        <v>2933.30048</v>
      </c>
      <c r="D8" s="14" t="n">
        <f aca="false">B8*Assumptions!$B$7</f>
        <v>30.6110016</v>
      </c>
      <c r="E8" s="14" t="n">
        <f aca="false">E7*(1-Assumptions!$B$8)+D8</f>
        <v>122.6166336</v>
      </c>
      <c r="F8" s="15" t="n">
        <f aca="false">Assumptions!$B$12*(1-Assumptions!$B$14)+Assumptions!$B$13*Assumptions!$B$14</f>
        <v>11.568</v>
      </c>
      <c r="G8" s="12" t="n">
        <f aca="false">E8*F8</f>
        <v>1418.4292174848</v>
      </c>
      <c r="H8" s="14" t="n">
        <f aca="false">B8*Assumptions!$B$9</f>
        <v>10.2036672</v>
      </c>
      <c r="I8" s="12" t="n">
        <f aca="false">H8*Assumptions!$B$15</f>
        <v>203.971307328</v>
      </c>
      <c r="J8" s="12" t="n">
        <f aca="false">0</f>
        <v>0</v>
      </c>
      <c r="K8" s="12" t="n">
        <f aca="false">G8+I8+J8</f>
        <v>1622.4005248128</v>
      </c>
      <c r="L8" s="12" t="n">
        <f aca="false">L7+K8</f>
        <v>5011.2213760128</v>
      </c>
    </row>
    <row r="9" customFormat="false" ht="15" hidden="false" customHeight="true" outlineLevel="0" collapsed="false">
      <c r="A9" s="20" t="n">
        <v>6</v>
      </c>
      <c r="B9" s="21" t="n">
        <f aca="false">B8*(1+Assumptions!$B$6)</f>
        <v>734.6640384</v>
      </c>
      <c r="C9" s="21" t="n">
        <f aca="false">C8+B9</f>
        <v>3667.9645184</v>
      </c>
      <c r="D9" s="21" t="n">
        <f aca="false">B9*Assumptions!$B$7</f>
        <v>33.059881728</v>
      </c>
      <c r="E9" s="21" t="n">
        <f aca="false">E8*(1-Assumptions!$B$8)+D9</f>
        <v>150.771849984</v>
      </c>
      <c r="F9" s="22" t="n">
        <f aca="false">Assumptions!$B$12*(1-Assumptions!$B$14)+Assumptions!$B$13*Assumptions!$B$14</f>
        <v>11.568</v>
      </c>
      <c r="G9" s="23" t="n">
        <f aca="false">E9*F9</f>
        <v>1744.12876061491</v>
      </c>
      <c r="H9" s="21" t="n">
        <f aca="false">B9*Assumptions!$B$9</f>
        <v>11.019960576</v>
      </c>
      <c r="I9" s="23" t="n">
        <f aca="false">H9*Assumptions!$B$15</f>
        <v>220.28901191424</v>
      </c>
      <c r="J9" s="23" t="n">
        <f aca="false">0</f>
        <v>0</v>
      </c>
      <c r="K9" s="23" t="n">
        <f aca="false">G9+I9+J9</f>
        <v>1964.41777252915</v>
      </c>
      <c r="L9" s="23" t="n">
        <f aca="false">L8+K9</f>
        <v>6975.63914854195</v>
      </c>
    </row>
    <row r="10" customFormat="false" ht="15" hidden="false" customHeight="true" outlineLevel="0" collapsed="false">
      <c r="A10" s="13" t="n">
        <v>7</v>
      </c>
      <c r="B10" s="14" t="n">
        <f aca="false">B9*(1+Assumptions!$B$6)</f>
        <v>793.437161472</v>
      </c>
      <c r="C10" s="14" t="n">
        <f aca="false">C9+B10</f>
        <v>4461.401679872</v>
      </c>
      <c r="D10" s="14" t="n">
        <f aca="false">B10*Assumptions!$B$7</f>
        <v>35.70467226624</v>
      </c>
      <c r="E10" s="14" t="n">
        <f aca="false">E9*(1-Assumptions!$B$8)+D10</f>
        <v>180.44564825088</v>
      </c>
      <c r="F10" s="15" t="n">
        <f aca="false">Assumptions!$B$12*(1-Assumptions!$B$14)+Assumptions!$B$13*Assumptions!$B$14</f>
        <v>11.568</v>
      </c>
      <c r="G10" s="12" t="n">
        <f aca="false">E10*F10</f>
        <v>2087.39525896618</v>
      </c>
      <c r="H10" s="14" t="n">
        <f aca="false">B10*Assumptions!$B$9</f>
        <v>11.90155742208</v>
      </c>
      <c r="I10" s="12" t="n">
        <f aca="false">H10*Assumptions!$B$15</f>
        <v>237.912132867379</v>
      </c>
      <c r="J10" s="12" t="n">
        <f aca="false">Assumptions!$B$18</f>
        <v>2000</v>
      </c>
      <c r="K10" s="12" t="n">
        <f aca="false">G10+I10+J10</f>
        <v>4325.30739183356</v>
      </c>
      <c r="L10" s="12" t="n">
        <f aca="false">L9+K10</f>
        <v>11300.9465403755</v>
      </c>
    </row>
    <row r="11" customFormat="false" ht="15" hidden="false" customHeight="true" outlineLevel="0" collapsed="false">
      <c r="A11" s="20" t="n">
        <v>8</v>
      </c>
      <c r="B11" s="21" t="n">
        <f aca="false">B10*(1+Assumptions!$B$6)</f>
        <v>856.91213438976</v>
      </c>
      <c r="C11" s="21" t="n">
        <f aca="false">C10+B11</f>
        <v>5318.31381426176</v>
      </c>
      <c r="D11" s="21" t="n">
        <f aca="false">B11*Assumptions!$B$7</f>
        <v>38.5610460475392</v>
      </c>
      <c r="E11" s="21" t="n">
        <f aca="false">E10*(1-Assumptions!$B$8)+D11</f>
        <v>211.788868368384</v>
      </c>
      <c r="F11" s="22" t="n">
        <f aca="false">Assumptions!$B$12*(1-Assumptions!$B$14)+Assumptions!$B$13*Assumptions!$B$14</f>
        <v>11.568</v>
      </c>
      <c r="G11" s="23" t="n">
        <f aca="false">E11*F11</f>
        <v>2449.97362928547</v>
      </c>
      <c r="H11" s="21" t="n">
        <f aca="false">B11*Assumptions!$B$9</f>
        <v>12.8536820158464</v>
      </c>
      <c r="I11" s="23" t="n">
        <f aca="false">H11*Assumptions!$B$15</f>
        <v>256.94510349677</v>
      </c>
      <c r="J11" s="23" t="n">
        <f aca="false">J10*(1+Assumptions!$B$19)</f>
        <v>2240</v>
      </c>
      <c r="K11" s="23" t="n">
        <f aca="false">G11+I11+J11</f>
        <v>4946.91873278224</v>
      </c>
      <c r="L11" s="23" t="n">
        <f aca="false">L10+K11</f>
        <v>16247.8652731577</v>
      </c>
    </row>
    <row r="12" customFormat="false" ht="15" hidden="false" customHeight="true" outlineLevel="0" collapsed="false">
      <c r="A12" s="13" t="n">
        <v>9</v>
      </c>
      <c r="B12" s="14" t="n">
        <f aca="false">B11*(1+Assumptions!$B$6)</f>
        <v>925.465105140941</v>
      </c>
      <c r="C12" s="14" t="n">
        <f aca="false">C11+B12</f>
        <v>6243.7789194027</v>
      </c>
      <c r="D12" s="14" t="n">
        <f aca="false">B12*Assumptions!$B$7</f>
        <v>41.6459297313424</v>
      </c>
      <c r="E12" s="14" t="n">
        <f aca="false">E11*(1-Assumptions!$B$8)+D12</f>
        <v>244.963243364991</v>
      </c>
      <c r="F12" s="15" t="n">
        <f aca="false">Assumptions!$B$12*(1-Assumptions!$B$14)+Assumptions!$B$13*Assumptions!$B$14</f>
        <v>11.568</v>
      </c>
      <c r="G12" s="12" t="n">
        <f aca="false">E12*F12</f>
        <v>2833.73479924622</v>
      </c>
      <c r="H12" s="14" t="n">
        <f aca="false">B12*Assumptions!$B$9</f>
        <v>13.8819765771141</v>
      </c>
      <c r="I12" s="12" t="n">
        <f aca="false">H12*Assumptions!$B$15</f>
        <v>277.500711776511</v>
      </c>
      <c r="J12" s="12" t="n">
        <f aca="false">J11*(1+Assumptions!$B$19)</f>
        <v>2508.8</v>
      </c>
      <c r="K12" s="12" t="n">
        <f aca="false">G12+I12+J12</f>
        <v>5620.03551102273</v>
      </c>
      <c r="L12" s="12" t="n">
        <f aca="false">L11+K12</f>
        <v>21867.9007841805</v>
      </c>
    </row>
    <row r="13" customFormat="false" ht="15" hidden="false" customHeight="true" outlineLevel="0" collapsed="false">
      <c r="A13" s="20" t="n">
        <v>10</v>
      </c>
      <c r="B13" s="21" t="n">
        <f aca="false">B12*(1+Assumptions!$B$6)</f>
        <v>999.502313552217</v>
      </c>
      <c r="C13" s="21" t="n">
        <f aca="false">C12+B13</f>
        <v>7243.28123295492</v>
      </c>
      <c r="D13" s="21" t="n">
        <f aca="false">B13*Assumptions!$B$7</f>
        <v>44.9776041098497</v>
      </c>
      <c r="E13" s="21" t="n">
        <f aca="false">E12*(1-Assumptions!$B$8)+D13</f>
        <v>280.142317740241</v>
      </c>
      <c r="F13" s="22" t="n">
        <f aca="false">Assumptions!$B$12*(1-Assumptions!$B$14)+Assumptions!$B$13*Assumptions!$B$14</f>
        <v>11.568</v>
      </c>
      <c r="G13" s="23" t="n">
        <f aca="false">E13*F13</f>
        <v>3240.68633161911</v>
      </c>
      <c r="H13" s="21" t="n">
        <f aca="false">B13*Assumptions!$B$9</f>
        <v>14.9925347032832</v>
      </c>
      <c r="I13" s="23" t="n">
        <f aca="false">H13*Assumptions!$B$15</f>
        <v>299.700768718632</v>
      </c>
      <c r="J13" s="23" t="n">
        <f aca="false">J12*(1+Assumptions!$B$19)</f>
        <v>2809.856</v>
      </c>
      <c r="K13" s="23" t="n">
        <f aca="false">G13+I13+J13</f>
        <v>6350.24310033774</v>
      </c>
      <c r="L13" s="23" t="n">
        <f aca="false">L12+K13</f>
        <v>28218.1438845182</v>
      </c>
    </row>
    <row r="14" customFormat="false" ht="15" hidden="false" customHeight="true" outlineLevel="0" collapsed="false">
      <c r="A14" s="13" t="n">
        <v>11</v>
      </c>
      <c r="B14" s="14" t="n">
        <f aca="false">B13*(1+Assumptions!$B$6)</f>
        <v>1079.46249863639</v>
      </c>
      <c r="C14" s="14" t="n">
        <f aca="false">C13+B14</f>
        <v>8322.74373159131</v>
      </c>
      <c r="D14" s="14" t="n">
        <f aca="false">B14*Assumptions!$B$7</f>
        <v>48.5758124386377</v>
      </c>
      <c r="E14" s="14" t="n">
        <f aca="false">E13*(1-Assumptions!$B$8)+D14</f>
        <v>317.512437469269</v>
      </c>
      <c r="F14" s="15" t="n">
        <f aca="false">Assumptions!$B$12*(1-Assumptions!$B$14)+Assumptions!$B$13*Assumptions!$B$14</f>
        <v>11.568</v>
      </c>
      <c r="G14" s="12" t="n">
        <f aca="false">E14*F14</f>
        <v>3672.98387664451</v>
      </c>
      <c r="H14" s="14" t="n">
        <f aca="false">B14*Assumptions!$B$9</f>
        <v>16.1919374795459</v>
      </c>
      <c r="I14" s="12" t="n">
        <f aca="false">H14*Assumptions!$B$15</f>
        <v>323.676830216123</v>
      </c>
      <c r="J14" s="12" t="n">
        <f aca="false">J13*(1+Assumptions!$B$19)</f>
        <v>3147.03872</v>
      </c>
      <c r="K14" s="12" t="n">
        <f aca="false">G14+I14+J14</f>
        <v>7143.69942686063</v>
      </c>
      <c r="L14" s="12" t="n">
        <f aca="false">L13+K14</f>
        <v>35361.8433113789</v>
      </c>
    </row>
    <row r="15" customFormat="false" ht="15" hidden="false" customHeight="true" outlineLevel="0" collapsed="false">
      <c r="A15" s="20" t="n">
        <v>12</v>
      </c>
      <c r="B15" s="21" t="n">
        <f aca="false">B14*(1+Assumptions!$B$6)</f>
        <v>1165.81949852731</v>
      </c>
      <c r="C15" s="21" t="n">
        <f aca="false">C14+B15</f>
        <v>9488.56323011862</v>
      </c>
      <c r="D15" s="21" t="n">
        <f aca="false">B15*Assumptions!$B$7</f>
        <v>52.4618774337287</v>
      </c>
      <c r="E15" s="21" t="n">
        <f aca="false">E14*(1-Assumptions!$B$8)+D15</f>
        <v>357.273817404227</v>
      </c>
      <c r="F15" s="22" t="n">
        <f aca="false">Assumptions!$B$12*(1-Assumptions!$B$14)+Assumptions!$B$13*Assumptions!$B$14</f>
        <v>11.568</v>
      </c>
      <c r="G15" s="23" t="n">
        <f aca="false">E15*F15</f>
        <v>4132.9435197321</v>
      </c>
      <c r="H15" s="21" t="n">
        <f aca="false">B15*Assumptions!$B$9</f>
        <v>17.4872924779096</v>
      </c>
      <c r="I15" s="23" t="n">
        <f aca="false">H15*Assumptions!$B$15</f>
        <v>349.570976633413</v>
      </c>
      <c r="J15" s="23" t="n">
        <f aca="false">J14*(1+Assumptions!$B$19)</f>
        <v>3524.6833664</v>
      </c>
      <c r="K15" s="23" t="n">
        <f aca="false">G15+I15+J15</f>
        <v>8007.19786276551</v>
      </c>
      <c r="L15" s="23" t="n">
        <f aca="false">L14+K15</f>
        <v>43369.0411741444</v>
      </c>
    </row>
    <row r="16" customFormat="false" ht="15" hidden="false" customHeight="true" outlineLevel="0" collapsed="false">
      <c r="A16" s="13" t="n">
        <v>13</v>
      </c>
      <c r="B16" s="14" t="n">
        <f aca="false">B15*(1+Assumptions!$B$6)</f>
        <v>1259.08505840949</v>
      </c>
      <c r="C16" s="14" t="n">
        <f aca="false">C15+B16</f>
        <v>10747.6482885281</v>
      </c>
      <c r="D16" s="14" t="n">
        <f aca="false">B16*Assumptions!$B$7</f>
        <v>56.6588276284271</v>
      </c>
      <c r="E16" s="14" t="n">
        <f aca="false">E15*(1-Assumptions!$B$8)+D16</f>
        <v>399.641692336485</v>
      </c>
      <c r="F16" s="15" t="n">
        <f aca="false">Assumptions!$B$12*(1-Assumptions!$B$14)+Assumptions!$B$13*Assumptions!$B$14</f>
        <v>11.568</v>
      </c>
      <c r="G16" s="12" t="n">
        <f aca="false">E16*F16</f>
        <v>4623.05509694846</v>
      </c>
      <c r="H16" s="14" t="n">
        <f aca="false">B16*Assumptions!$B$9</f>
        <v>18.8862758761424</v>
      </c>
      <c r="I16" s="12" t="n">
        <f aca="false">H16*Assumptions!$B$15</f>
        <v>377.536654764086</v>
      </c>
      <c r="J16" s="12" t="n">
        <f aca="false">J15*(1+Assumptions!$B$19)</f>
        <v>3947.645370368</v>
      </c>
      <c r="K16" s="12" t="n">
        <f aca="false">G16+I16+J16</f>
        <v>8948.23712208055</v>
      </c>
      <c r="L16" s="12" t="n">
        <f aca="false">L15+K16</f>
        <v>52317.2782962249</v>
      </c>
    </row>
    <row r="17" customFormat="false" ht="15" hidden="false" customHeight="true" outlineLevel="0" collapsed="false">
      <c r="A17" s="20" t="n">
        <v>14</v>
      </c>
      <c r="B17" s="21" t="n">
        <f aca="false">B16*(1+Assumptions!$B$6)</f>
        <v>1359.81186308225</v>
      </c>
      <c r="C17" s="21" t="n">
        <f aca="false">C16+B17</f>
        <v>12107.4601516104</v>
      </c>
      <c r="D17" s="21" t="n">
        <f aca="false">B17*Assumptions!$B$7</f>
        <v>61.1915338387012</v>
      </c>
      <c r="E17" s="21" t="n">
        <f aca="false">E16*(1-Assumptions!$B$8)+D17</f>
        <v>444.847558481727</v>
      </c>
      <c r="F17" s="22" t="n">
        <f aca="false">Assumptions!$B$12*(1-Assumptions!$B$14)+Assumptions!$B$13*Assumptions!$B$14</f>
        <v>11.568</v>
      </c>
      <c r="G17" s="23" t="n">
        <f aca="false">E17*F17</f>
        <v>5145.99655651662</v>
      </c>
      <c r="H17" s="21" t="n">
        <f aca="false">B17*Assumptions!$B$9</f>
        <v>20.3971779462337</v>
      </c>
      <c r="I17" s="23" t="n">
        <f aca="false">H17*Assumptions!$B$15</f>
        <v>407.739587145212</v>
      </c>
      <c r="J17" s="23" t="n">
        <f aca="false">J16*(1+Assumptions!$B$19)</f>
        <v>4421.36281481216</v>
      </c>
      <c r="K17" s="23" t="n">
        <f aca="false">G17+I17+J17</f>
        <v>9975.09895847399</v>
      </c>
      <c r="L17" s="23" t="n">
        <f aca="false">L16+K17</f>
        <v>62292.3772546989</v>
      </c>
    </row>
    <row r="18" customFormat="false" ht="15" hidden="false" customHeight="true" outlineLevel="0" collapsed="false">
      <c r="A18" s="13" t="n">
        <v>15</v>
      </c>
      <c r="B18" s="14" t="n">
        <f aca="false">B17*(1+Assumptions!$B$6)</f>
        <v>1468.59681212883</v>
      </c>
      <c r="C18" s="14" t="n">
        <f aca="false">C17+B18</f>
        <v>13576.0569637392</v>
      </c>
      <c r="D18" s="14" t="n">
        <f aca="false">B18*Assumptions!$B$7</f>
        <v>66.0868565457973</v>
      </c>
      <c r="E18" s="14" t="n">
        <f aca="false">E17*(1-Assumptions!$B$8)+D18</f>
        <v>493.140512688255</v>
      </c>
      <c r="F18" s="15" t="n">
        <f aca="false">Assumptions!$B$12*(1-Assumptions!$B$14)+Assumptions!$B$13*Assumptions!$B$14</f>
        <v>11.568</v>
      </c>
      <c r="G18" s="12" t="n">
        <f aca="false">E18*F18</f>
        <v>5704.64945077774</v>
      </c>
      <c r="H18" s="14" t="n">
        <f aca="false">B18*Assumptions!$B$9</f>
        <v>22.0289521819324</v>
      </c>
      <c r="I18" s="12" t="n">
        <f aca="false">H18*Assumptions!$B$15</f>
        <v>440.35875411683</v>
      </c>
      <c r="J18" s="12" t="n">
        <f aca="false">J17*(1+Assumptions!$B$19)</f>
        <v>4951.92635258962</v>
      </c>
      <c r="K18" s="12" t="n">
        <f aca="false">G18+I18+J18</f>
        <v>11096.9345574842</v>
      </c>
      <c r="L18" s="12" t="n">
        <f aca="false">L17+K18</f>
        <v>73389.3118121831</v>
      </c>
    </row>
    <row r="19" customFormat="false" ht="15" hidden="false" customHeight="true" outlineLevel="0" collapsed="false">
      <c r="A19" s="20" t="n">
        <v>16</v>
      </c>
      <c r="B19" s="21" t="n">
        <f aca="false">B18*(1+Assumptions!$B$6)</f>
        <v>1586.08455709914</v>
      </c>
      <c r="C19" s="21" t="n">
        <f aca="false">C18+B19</f>
        <v>15162.1415208383</v>
      </c>
      <c r="D19" s="21" t="n">
        <f aca="false">B19*Assumptions!$B$7</f>
        <v>71.3738050694611</v>
      </c>
      <c r="E19" s="21" t="n">
        <f aca="false">E18*(1-Assumptions!$B$8)+D19</f>
        <v>544.788697250186</v>
      </c>
      <c r="F19" s="22" t="n">
        <f aca="false">Assumptions!$B$12*(1-Assumptions!$B$14)+Assumptions!$B$13*Assumptions!$B$14</f>
        <v>11.568</v>
      </c>
      <c r="G19" s="23" t="n">
        <f aca="false">E19*F19</f>
        <v>6302.11564979015</v>
      </c>
      <c r="H19" s="21" t="n">
        <f aca="false">B19*Assumptions!$B$9</f>
        <v>23.791268356487</v>
      </c>
      <c r="I19" s="23" t="n">
        <f aca="false">H19*Assumptions!$B$15</f>
        <v>475.587454446176</v>
      </c>
      <c r="J19" s="23" t="n">
        <f aca="false">J18*(1+Assumptions!$B$19)</f>
        <v>5546.15751490038</v>
      </c>
      <c r="K19" s="23" t="n">
        <f aca="false">G19+I19+J19</f>
        <v>12323.8606191367</v>
      </c>
      <c r="L19" s="23" t="n">
        <f aca="false">L18+K19</f>
        <v>85713.1724313198</v>
      </c>
    </row>
    <row r="20" customFormat="false" ht="15" hidden="false" customHeight="true" outlineLevel="0" collapsed="false">
      <c r="A20" s="13" t="n">
        <v>17</v>
      </c>
      <c r="B20" s="14" t="n">
        <f aca="false">B19*(1+Assumptions!$B$6)</f>
        <v>1712.97132166707</v>
      </c>
      <c r="C20" s="14" t="n">
        <f aca="false">C19+B20</f>
        <v>16875.1128425054</v>
      </c>
      <c r="D20" s="14" t="n">
        <f aca="false">B20*Assumptions!$B$7</f>
        <v>77.083709475018</v>
      </c>
      <c r="E20" s="14" t="n">
        <f aca="false">E19*(1-Assumptions!$B$8)+D20</f>
        <v>600.080858835197</v>
      </c>
      <c r="F20" s="15" t="n">
        <f aca="false">Assumptions!$B$12*(1-Assumptions!$B$14)+Assumptions!$B$13*Assumptions!$B$14</f>
        <v>11.568</v>
      </c>
      <c r="G20" s="12" t="n">
        <f aca="false">E20*F20</f>
        <v>6941.73537500555</v>
      </c>
      <c r="H20" s="14" t="n">
        <f aca="false">B20*Assumptions!$B$9</f>
        <v>25.694569825006</v>
      </c>
      <c r="I20" s="12" t="n">
        <f aca="false">H20*Assumptions!$B$15</f>
        <v>513.63445080187</v>
      </c>
      <c r="J20" s="12" t="n">
        <f aca="false">J19*(1+Assumptions!$B$19)</f>
        <v>6211.69641668842</v>
      </c>
      <c r="K20" s="12" t="n">
        <f aca="false">G20+I20+J20</f>
        <v>13667.0662424958</v>
      </c>
      <c r="L20" s="12" t="n">
        <f aca="false">L19+K20</f>
        <v>99380.2386738156</v>
      </c>
    </row>
    <row r="21" customFormat="false" ht="15" hidden="false" customHeight="true" outlineLevel="0" collapsed="false">
      <c r="A21" s="20" t="n">
        <v>18</v>
      </c>
      <c r="B21" s="21" t="n">
        <f aca="false">B20*(1+Assumptions!$B$6)</f>
        <v>1850.00902740043</v>
      </c>
      <c r="C21" s="21" t="n">
        <f aca="false">C20+B21</f>
        <v>18725.1218699058</v>
      </c>
      <c r="D21" s="21" t="n">
        <f aca="false">B21*Assumptions!$B$7</f>
        <v>83.2504062330195</v>
      </c>
      <c r="E21" s="21" t="n">
        <f aca="false">E20*(1-Assumptions!$B$8)+D21</f>
        <v>659.328030714808</v>
      </c>
      <c r="F21" s="22" t="n">
        <f aca="false">Assumptions!$B$12*(1-Assumptions!$B$14)+Assumptions!$B$13*Assumptions!$B$14</f>
        <v>11.568</v>
      </c>
      <c r="G21" s="23" t="n">
        <f aca="false">E21*F21</f>
        <v>7627.1066593089</v>
      </c>
      <c r="H21" s="21" t="n">
        <f aca="false">B21*Assumptions!$B$9</f>
        <v>27.7501354110065</v>
      </c>
      <c r="I21" s="23" t="n">
        <f aca="false">H21*Assumptions!$B$15</f>
        <v>554.72520686602</v>
      </c>
      <c r="J21" s="23" t="n">
        <f aca="false">J20*(1+Assumptions!$B$19)</f>
        <v>6957.09998669104</v>
      </c>
      <c r="K21" s="23" t="n">
        <f aca="false">G21+I21+J21</f>
        <v>15138.931852866</v>
      </c>
      <c r="L21" s="23" t="n">
        <f aca="false">L20+K21</f>
        <v>114519.170526682</v>
      </c>
    </row>
    <row r="22" customFormat="false" ht="15" hidden="false" customHeight="true" outlineLevel="0" collapsed="false">
      <c r="A22" s="13" t="n">
        <v>19</v>
      </c>
      <c r="B22" s="14" t="n">
        <f aca="false">B21*(1+Assumptions!$B$6)</f>
        <v>1998.00974959247</v>
      </c>
      <c r="C22" s="14" t="n">
        <f aca="false">C21+B22</f>
        <v>20723.1316194983</v>
      </c>
      <c r="D22" s="14" t="n">
        <f aca="false">B22*Assumptions!$B$7</f>
        <v>89.910438731661</v>
      </c>
      <c r="E22" s="14" t="n">
        <f aca="false">E21*(1-Assumptions!$B$8)+D22</f>
        <v>722.865348217877</v>
      </c>
      <c r="F22" s="15" t="n">
        <f aca="false">Assumptions!$B$12*(1-Assumptions!$B$14)+Assumptions!$B$13*Assumptions!$B$14</f>
        <v>11.568</v>
      </c>
      <c r="G22" s="12" t="n">
        <f aca="false">E22*F22</f>
        <v>8362.1063481844</v>
      </c>
      <c r="H22" s="14" t="n">
        <f aca="false">B22*Assumptions!$B$9</f>
        <v>29.970146243887</v>
      </c>
      <c r="I22" s="12" t="n">
        <f aca="false">H22*Assumptions!$B$15</f>
        <v>599.103223415301</v>
      </c>
      <c r="J22" s="12" t="n">
        <f aca="false">J21*(1+Assumptions!$B$19)</f>
        <v>7791.95198509396</v>
      </c>
      <c r="K22" s="12" t="n">
        <f aca="false">G22+I22+J22</f>
        <v>16753.1615566937</v>
      </c>
      <c r="L22" s="12" t="n">
        <f aca="false">L21+K22</f>
        <v>131272.332083375</v>
      </c>
    </row>
    <row r="23" customFormat="false" ht="15" hidden="false" customHeight="true" outlineLevel="0" collapsed="false">
      <c r="A23" s="20" t="n">
        <v>20</v>
      </c>
      <c r="B23" s="21" t="n">
        <f aca="false">B22*(1+Assumptions!$B$6)</f>
        <v>2157.85052955986</v>
      </c>
      <c r="C23" s="21" t="n">
        <f aca="false">C22+B23</f>
        <v>22880.9821490582</v>
      </c>
      <c r="D23" s="21" t="n">
        <f aca="false">B23*Assumptions!$B$7</f>
        <v>97.1032738301939</v>
      </c>
      <c r="E23" s="21" t="n">
        <f aca="false">E22*(1-Assumptions!$B$8)+D23</f>
        <v>791.054008119356</v>
      </c>
      <c r="F23" s="22" t="n">
        <f aca="false">Assumptions!$B$12*(1-Assumptions!$B$14)+Assumptions!$B$13*Assumptions!$B$14</f>
        <v>11.568</v>
      </c>
      <c r="G23" s="23" t="n">
        <f aca="false">E23*F23</f>
        <v>9150.91276592471</v>
      </c>
      <c r="H23" s="21" t="n">
        <f aca="false">B23*Assumptions!$B$9</f>
        <v>32.367757943398</v>
      </c>
      <c r="I23" s="23" t="n">
        <f aca="false">H23*Assumptions!$B$15</f>
        <v>647.031481288525</v>
      </c>
      <c r="J23" s="23" t="n">
        <f aca="false">J22*(1+Assumptions!$B$19)</f>
        <v>8726.98622330524</v>
      </c>
      <c r="K23" s="23" t="n">
        <f aca="false">G23+I23+J23</f>
        <v>18524.9304705185</v>
      </c>
      <c r="L23" s="23" t="n">
        <f aca="false">L22+K23</f>
        <v>149797.262553894</v>
      </c>
    </row>
    <row r="24" customFormat="false" ht="15" hidden="false" customHeight="true" outlineLevel="0" collapsed="false">
      <c r="A24" s="13" t="n">
        <v>21</v>
      </c>
      <c r="B24" s="14" t="n">
        <f aca="false">B23*(1+Assumptions!$B$6)</f>
        <v>2330.47857192465</v>
      </c>
      <c r="C24" s="14" t="n">
        <f aca="false">C23+B24</f>
        <v>25211.4607209828</v>
      </c>
      <c r="D24" s="14" t="n">
        <f aca="false">B24*Assumptions!$B$7</f>
        <v>104.871535736609</v>
      </c>
      <c r="E24" s="14" t="n">
        <f aca="false">E23*(1-Assumptions!$B$8)+D24</f>
        <v>864.283383531191</v>
      </c>
      <c r="F24" s="15" t="n">
        <f aca="false">Assumptions!$B$12*(1-Assumptions!$B$14)+Assumptions!$B$13*Assumptions!$B$14</f>
        <v>11.568</v>
      </c>
      <c r="G24" s="12" t="n">
        <f aca="false">E24*F24</f>
        <v>9998.03018068882</v>
      </c>
      <c r="H24" s="14" t="n">
        <f aca="false">B24*Assumptions!$B$9</f>
        <v>34.9571785788698</v>
      </c>
      <c r="I24" s="12" t="n">
        <f aca="false">H24*Assumptions!$B$15</f>
        <v>698.793999791608</v>
      </c>
      <c r="J24" s="12" t="n">
        <f aca="false">J23*(1+Assumptions!$B$19)</f>
        <v>9774.22457010187</v>
      </c>
      <c r="K24" s="12" t="n">
        <f aca="false">G24+I24+J24</f>
        <v>20471.0487505823</v>
      </c>
      <c r="L24" s="12" t="n">
        <f aca="false">L23+K24</f>
        <v>170268.311304476</v>
      </c>
    </row>
    <row r="25" customFormat="false" ht="15" hidden="false" customHeight="true" outlineLevel="0" collapsed="false">
      <c r="A25" s="20" t="n">
        <v>22</v>
      </c>
      <c r="B25" s="21" t="n">
        <f aca="false">B24*(1+Assumptions!$B$6)</f>
        <v>2516.91685767863</v>
      </c>
      <c r="C25" s="21" t="n">
        <f aca="false">C24+B25</f>
        <v>27728.3775786614</v>
      </c>
      <c r="D25" s="21" t="n">
        <f aca="false">B25*Assumptions!$B$7</f>
        <v>113.261258595538</v>
      </c>
      <c r="E25" s="21" t="n">
        <f aca="false">E24*(1-Assumptions!$B$8)+D25</f>
        <v>942.973306785482</v>
      </c>
      <c r="F25" s="22" t="n">
        <f aca="false">Assumptions!$B$12*(1-Assumptions!$B$14)+Assumptions!$B$13*Assumptions!$B$14</f>
        <v>11.568</v>
      </c>
      <c r="G25" s="23" t="n">
        <f aca="false">E25*F25</f>
        <v>10908.3152128945</v>
      </c>
      <c r="H25" s="21" t="n">
        <f aca="false">B25*Assumptions!$B$9</f>
        <v>37.7537528651794</v>
      </c>
      <c r="I25" s="23" t="n">
        <f aca="false">H25*Assumptions!$B$15</f>
        <v>754.697519774936</v>
      </c>
      <c r="J25" s="23" t="n">
        <f aca="false">J24*(1+Assumptions!$B$19)</f>
        <v>10947.1315185141</v>
      </c>
      <c r="K25" s="23" t="n">
        <f aca="false">G25+I25+J25</f>
        <v>22610.1442511835</v>
      </c>
      <c r="L25" s="23" t="n">
        <f aca="false">L24+K25</f>
        <v>192878.45555566</v>
      </c>
    </row>
    <row r="26" customFormat="false" ht="15" hidden="false" customHeight="true" outlineLevel="0" collapsed="false">
      <c r="A26" s="13" t="n">
        <v>23</v>
      </c>
      <c r="B26" s="14" t="n">
        <f aca="false">B25*(1+Assumptions!$B$6)</f>
        <v>2718.27020629292</v>
      </c>
      <c r="C26" s="14" t="n">
        <f aca="false">C25+B26</f>
        <v>30446.6477849544</v>
      </c>
      <c r="D26" s="14" t="n">
        <f aca="false">B26*Assumptions!$B$7</f>
        <v>122.322159283181</v>
      </c>
      <c r="E26" s="14" t="n">
        <f aca="false">E25*(1-Assumptions!$B$8)+D26</f>
        <v>1027.57653379724</v>
      </c>
      <c r="F26" s="15" t="n">
        <f aca="false">Assumptions!$B$12*(1-Assumptions!$B$14)+Assumptions!$B$13*Assumptions!$B$14</f>
        <v>11.568</v>
      </c>
      <c r="G26" s="12" t="n">
        <f aca="false">E26*F26</f>
        <v>11887.0053429665</v>
      </c>
      <c r="H26" s="14" t="n">
        <f aca="false">B26*Assumptions!$B$9</f>
        <v>40.7740530943938</v>
      </c>
      <c r="I26" s="12" t="n">
        <f aca="false">H26*Assumptions!$B$15</f>
        <v>815.073321356931</v>
      </c>
      <c r="J26" s="12" t="n">
        <f aca="false">J25*(1+Assumptions!$B$19)</f>
        <v>12260.7873007358</v>
      </c>
      <c r="K26" s="12" t="n">
        <f aca="false">G26+I26+J26</f>
        <v>24962.8659650592</v>
      </c>
      <c r="L26" s="12" t="n">
        <f aca="false">L25+K26</f>
        <v>217841.321520719</v>
      </c>
    </row>
    <row r="27" customFormat="false" ht="15" hidden="false" customHeight="true" outlineLevel="0" collapsed="false">
      <c r="A27" s="20" t="n">
        <v>24</v>
      </c>
      <c r="B27" s="21" t="n">
        <f aca="false">B26*(1+Assumptions!$B$6)</f>
        <v>2935.73182279635</v>
      </c>
      <c r="C27" s="21" t="n">
        <f aca="false">C26+B27</f>
        <v>33382.3796077507</v>
      </c>
      <c r="D27" s="21" t="n">
        <f aca="false">B27*Assumptions!$B$7</f>
        <v>132.107932025836</v>
      </c>
      <c r="E27" s="21" t="n">
        <f aca="false">E26*(1-Assumptions!$B$8)+D27</f>
        <v>1118.58140447119</v>
      </c>
      <c r="F27" s="22" t="n">
        <f aca="false">Assumptions!$B$12*(1-Assumptions!$B$14)+Assumptions!$B$13*Assumptions!$B$14</f>
        <v>11.568</v>
      </c>
      <c r="G27" s="23" t="n">
        <f aca="false">E27*F27</f>
        <v>12939.7496869227</v>
      </c>
      <c r="H27" s="21" t="n">
        <f aca="false">B27*Assumptions!$B$9</f>
        <v>44.0359773419453</v>
      </c>
      <c r="I27" s="23" t="n">
        <f aca="false">H27*Assumptions!$B$15</f>
        <v>880.279187065486</v>
      </c>
      <c r="J27" s="23" t="n">
        <f aca="false">J26*(1+Assumptions!$B$19)</f>
        <v>13732.0817768241</v>
      </c>
      <c r="K27" s="23" t="n">
        <f aca="false">G27+I27+J27</f>
        <v>27552.1106508123</v>
      </c>
      <c r="L27" s="23" t="n">
        <f aca="false">L26+K27</f>
        <v>245393.432171531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2026-07-24T10:32:17Z</dcterms:created>
  <dc:creator>openpyxl</dc:creator>
  <dc:description/>
  <dc:language>en-US</dc:language>
  <cp:lastModifiedBy/>
  <dcterms:modified xsi:type="dcterms:W3CDTF">2026-07-24T10:33:24Z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